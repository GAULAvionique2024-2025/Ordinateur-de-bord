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OneDrive\Documents\ULaval\GAUL\ODB2\Ordinateur-de-bord\ODB_V3\"/>
    </mc:Choice>
  </mc:AlternateContent>
  <xr:revisionPtr revIDLastSave="0" documentId="8_{E1C182BB-EFF1-48C0-AA79-44260C353815}" xr6:coauthVersionLast="47" xr6:coauthVersionMax="47" xr10:uidLastSave="{00000000-0000-0000-0000-000000000000}"/>
  <bookViews>
    <workbookView xWindow="5025" yWindow="5025" windowWidth="38700" windowHeight="15345" xr2:uid="{9A4AF5B3-B6D8-48CA-8088-7841A070071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G26" i="1"/>
  <c r="H26" i="1"/>
  <c r="E26" i="1"/>
  <c r="H23" i="1"/>
  <c r="H24" i="1"/>
  <c r="G23" i="1"/>
  <c r="G24" i="1" s="1"/>
  <c r="F24" i="1"/>
  <c r="E24" i="1"/>
  <c r="G19" i="1"/>
  <c r="H19" i="1"/>
  <c r="G18" i="1"/>
  <c r="G20" i="1"/>
  <c r="G17" i="1"/>
  <c r="G5" i="1"/>
  <c r="G6" i="1"/>
  <c r="G7" i="1"/>
  <c r="G8" i="1"/>
  <c r="G9" i="1"/>
  <c r="G10" i="1"/>
  <c r="G11" i="1"/>
  <c r="G12" i="1"/>
  <c r="G13" i="1"/>
  <c r="G14" i="1"/>
  <c r="G4" i="1"/>
  <c r="G15" i="1" s="1"/>
  <c r="G21" i="1"/>
  <c r="H13" i="1"/>
  <c r="H12" i="1"/>
  <c r="H11" i="1"/>
  <c r="H10" i="1"/>
  <c r="H5" i="1"/>
  <c r="E21" i="1"/>
  <c r="F21" i="1"/>
  <c r="H18" i="1"/>
  <c r="H20" i="1"/>
  <c r="H17" i="1"/>
  <c r="H6" i="1"/>
  <c r="H7" i="1"/>
  <c r="H8" i="1"/>
  <c r="H9" i="1"/>
  <c r="H14" i="1"/>
  <c r="H4" i="1"/>
  <c r="F15" i="1"/>
  <c r="E15" i="1"/>
  <c r="H15" i="1" l="1"/>
  <c r="H21" i="1"/>
</calcChain>
</file>

<file path=xl/sharedStrings.xml><?xml version="1.0" encoding="utf-8"?>
<sst xmlns="http://schemas.openxmlformats.org/spreadsheetml/2006/main" count="64" uniqueCount="40">
  <si>
    <t>Composant</t>
  </si>
  <si>
    <t>Rail (V)</t>
  </si>
  <si>
    <t>État / Condition</t>
  </si>
  <si>
    <t>Courant Typ. (mA)</t>
  </si>
  <si>
    <t>Courant Max (mA)</t>
  </si>
  <si>
    <t>Run @ 100MHz</t>
  </si>
  <si>
    <t>Acquisition GPS</t>
  </si>
  <si>
    <t>Écriture Flash</t>
  </si>
  <si>
    <t>Appairé / Actif</t>
  </si>
  <si>
    <t>Mode Actif</t>
  </si>
  <si>
    <t>Allumées</t>
  </si>
  <si>
    <t>TOTAL RAIL 3.3V</t>
  </si>
  <si>
    <t>---</t>
  </si>
  <si>
    <t>RFD900x</t>
  </si>
  <si>
    <t>TX @ 1W (Peak)</t>
  </si>
  <si>
    <t>LEDs 5.0V</t>
  </si>
  <si>
    <t>TOTAL RAIL 5.0V</t>
  </si>
  <si>
    <t>TOTAL GÉNÉRAL</t>
  </si>
  <si>
    <t>MS561101BA03-50</t>
  </si>
  <si>
    <t>ADXL382-2BCCZ</t>
  </si>
  <si>
    <t>MAX6612MXK</t>
  </si>
  <si>
    <t>W25Q512JVEIQ</t>
  </si>
  <si>
    <t>HM-11</t>
  </si>
  <si>
    <t>LTST-E682</t>
  </si>
  <si>
    <t>LED Verte (HM-11)</t>
  </si>
  <si>
    <t>LM339B + Diviseurs</t>
  </si>
  <si>
    <t>STM32F412ZGT6</t>
  </si>
  <si>
    <t>L76LM33</t>
  </si>
  <si>
    <t>Tracking / Acquisition</t>
  </si>
  <si>
    <t>Actif</t>
  </si>
  <si>
    <t>LEDs Buck 3.3V</t>
  </si>
  <si>
    <t>Puissance Max (mW)</t>
  </si>
  <si>
    <t>Puissance Typ. (mW)</t>
  </si>
  <si>
    <t>SMTB-0927</t>
  </si>
  <si>
    <t>USBLC6-2P6</t>
  </si>
  <si>
    <t>Interface de données</t>
  </si>
  <si>
    <t>Modulation active</t>
  </si>
  <si>
    <t>Système Pyros</t>
  </si>
  <si>
    <t>Déclenchement des charges explosives</t>
  </si>
  <si>
    <t>TOTAL RAIL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</si>
</sst>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0" borderId="1" xfId="0" applyFont="1" applyBorder="1"/>
    <xf numFmtId="0" fontId="0" fillId="0" borderId="1" xfId="0" applyBorder="1" applyAlignment="1">
      <alignment horizontal="left"/>
    </xf>
    <xf numFmtId="2" fontId="3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B42E-9096-4A19-B93E-16495C26F6C9}">
  <dimension ref="B3:H26"/>
  <sheetViews>
    <sheetView tabSelected="1" topLeftCell="A12" workbookViewId="0">
      <selection activeCell="L20" sqref="L20"/>
    </sheetView>
  </sheetViews>
  <sheetFormatPr baseColWidth="10" defaultRowHeight="15" x14ac:dyDescent="0.25"/>
  <cols>
    <col min="2" max="2" width="32" customWidth="1"/>
    <col min="3" max="3" width="9.42578125" bestFit="1" customWidth="1"/>
    <col min="4" max="4" width="21.42578125" customWidth="1"/>
    <col min="5" max="5" width="20.42578125" bestFit="1" customWidth="1"/>
  </cols>
  <sheetData>
    <row r="3" spans="2:8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32</v>
      </c>
      <c r="H3" s="1" t="s">
        <v>31</v>
      </c>
    </row>
    <row r="4" spans="2:8" x14ac:dyDescent="0.25">
      <c r="B4" s="2" t="s">
        <v>26</v>
      </c>
      <c r="C4" s="3">
        <v>3.3</v>
      </c>
      <c r="D4" s="4" t="s">
        <v>5</v>
      </c>
      <c r="E4" s="3">
        <v>60</v>
      </c>
      <c r="F4" s="3">
        <v>100</v>
      </c>
      <c r="G4" s="3">
        <f>C4*E4</f>
        <v>198</v>
      </c>
      <c r="H4" s="3">
        <f t="shared" ref="H4:H14" si="0">C4*F4</f>
        <v>330</v>
      </c>
    </row>
    <row r="5" spans="2:8" x14ac:dyDescent="0.25">
      <c r="B5" s="2" t="s">
        <v>18</v>
      </c>
      <c r="C5" s="3">
        <v>3.2</v>
      </c>
      <c r="D5" s="4" t="s">
        <v>9</v>
      </c>
      <c r="E5" s="3">
        <v>10</v>
      </c>
      <c r="F5" s="3">
        <v>15</v>
      </c>
      <c r="G5" s="3">
        <f t="shared" ref="G5:G14" si="1">C5*E5</f>
        <v>32</v>
      </c>
      <c r="H5" s="3">
        <f t="shared" si="0"/>
        <v>48</v>
      </c>
    </row>
    <row r="6" spans="2:8" x14ac:dyDescent="0.25">
      <c r="B6" s="2" t="s">
        <v>19</v>
      </c>
      <c r="C6" s="3">
        <v>3.3</v>
      </c>
      <c r="D6" s="4" t="s">
        <v>6</v>
      </c>
      <c r="E6" s="3">
        <v>0.05</v>
      </c>
      <c r="F6" s="3">
        <v>0.6</v>
      </c>
      <c r="G6" s="3">
        <f t="shared" si="1"/>
        <v>0.16500000000000001</v>
      </c>
      <c r="H6" s="3">
        <f t="shared" si="0"/>
        <v>1.9799999999999998</v>
      </c>
    </row>
    <row r="7" spans="2:8" x14ac:dyDescent="0.25">
      <c r="B7" s="2" t="s">
        <v>20</v>
      </c>
      <c r="C7" s="3">
        <v>3.3</v>
      </c>
      <c r="D7" s="4" t="s">
        <v>9</v>
      </c>
      <c r="E7" s="3">
        <v>3.5000000000000003E-2</v>
      </c>
      <c r="F7" s="3">
        <v>0.05</v>
      </c>
      <c r="G7" s="3">
        <f t="shared" si="1"/>
        <v>0.11550000000000001</v>
      </c>
      <c r="H7" s="3">
        <f t="shared" si="0"/>
        <v>0.16500000000000001</v>
      </c>
    </row>
    <row r="8" spans="2:8" x14ac:dyDescent="0.25">
      <c r="B8" s="2" t="s">
        <v>21</v>
      </c>
      <c r="C8" s="3">
        <v>3.3</v>
      </c>
      <c r="D8" s="4" t="s">
        <v>7</v>
      </c>
      <c r="E8" s="3">
        <v>35</v>
      </c>
      <c r="F8" s="3">
        <v>50</v>
      </c>
      <c r="G8" s="3">
        <f t="shared" si="1"/>
        <v>115.5</v>
      </c>
      <c r="H8" s="3">
        <f t="shared" si="0"/>
        <v>165</v>
      </c>
    </row>
    <row r="9" spans="2:8" x14ac:dyDescent="0.25">
      <c r="B9" s="2" t="s">
        <v>22</v>
      </c>
      <c r="C9" s="3">
        <v>3.3</v>
      </c>
      <c r="D9" s="4" t="s">
        <v>8</v>
      </c>
      <c r="E9" s="3">
        <v>10</v>
      </c>
      <c r="F9" s="3">
        <v>20</v>
      </c>
      <c r="G9" s="3">
        <f t="shared" si="1"/>
        <v>33</v>
      </c>
      <c r="H9" s="3">
        <f t="shared" si="0"/>
        <v>66</v>
      </c>
    </row>
    <row r="10" spans="2:8" x14ac:dyDescent="0.25">
      <c r="B10" s="2" t="s">
        <v>27</v>
      </c>
      <c r="C10" s="3">
        <v>3.3</v>
      </c>
      <c r="D10" s="4" t="s">
        <v>28</v>
      </c>
      <c r="E10" s="3">
        <v>20</v>
      </c>
      <c r="F10" s="3">
        <v>35</v>
      </c>
      <c r="G10" s="3">
        <f t="shared" si="1"/>
        <v>66</v>
      </c>
      <c r="H10" s="3">
        <f t="shared" si="0"/>
        <v>115.5</v>
      </c>
    </row>
    <row r="11" spans="2:8" x14ac:dyDescent="0.25">
      <c r="B11" s="2" t="s">
        <v>23</v>
      </c>
      <c r="C11" s="3">
        <v>3.3</v>
      </c>
      <c r="D11" s="4" t="s">
        <v>10</v>
      </c>
      <c r="E11" s="3">
        <v>13</v>
      </c>
      <c r="F11" s="3">
        <v>20</v>
      </c>
      <c r="G11" s="3">
        <f t="shared" si="1"/>
        <v>42.9</v>
      </c>
      <c r="H11" s="3">
        <f t="shared" si="0"/>
        <v>66</v>
      </c>
    </row>
    <row r="12" spans="2:8" x14ac:dyDescent="0.25">
      <c r="B12" s="5" t="s">
        <v>25</v>
      </c>
      <c r="C12" s="3">
        <v>3.3</v>
      </c>
      <c r="D12" s="6" t="s">
        <v>29</v>
      </c>
      <c r="E12" s="3">
        <v>1.6</v>
      </c>
      <c r="F12" s="3">
        <v>2</v>
      </c>
      <c r="G12" s="3">
        <f t="shared" si="1"/>
        <v>5.28</v>
      </c>
      <c r="H12" s="3">
        <f t="shared" si="0"/>
        <v>6.6</v>
      </c>
    </row>
    <row r="13" spans="2:8" x14ac:dyDescent="0.25">
      <c r="B13" s="5" t="s">
        <v>24</v>
      </c>
      <c r="C13" s="3">
        <v>3.3</v>
      </c>
      <c r="D13" s="4" t="s">
        <v>10</v>
      </c>
      <c r="E13" s="3">
        <v>1.6</v>
      </c>
      <c r="F13" s="3">
        <v>2</v>
      </c>
      <c r="G13" s="3">
        <f t="shared" si="1"/>
        <v>5.28</v>
      </c>
      <c r="H13" s="3">
        <f t="shared" si="0"/>
        <v>6.6</v>
      </c>
    </row>
    <row r="14" spans="2:8" x14ac:dyDescent="0.25">
      <c r="B14" s="2" t="s">
        <v>30</v>
      </c>
      <c r="C14" s="3">
        <v>3.3</v>
      </c>
      <c r="D14" s="4" t="s">
        <v>10</v>
      </c>
      <c r="E14" s="3">
        <v>10</v>
      </c>
      <c r="F14" s="3">
        <v>15</v>
      </c>
      <c r="G14" s="3">
        <f t="shared" si="1"/>
        <v>33</v>
      </c>
      <c r="H14" s="3">
        <f t="shared" si="0"/>
        <v>49.5</v>
      </c>
    </row>
    <row r="15" spans="2:8" x14ac:dyDescent="0.25">
      <c r="B15" s="2" t="s">
        <v>11</v>
      </c>
      <c r="C15" s="3"/>
      <c r="D15" s="3"/>
      <c r="E15" s="7">
        <f>SUM(E4:E14)</f>
        <v>161.28499999999997</v>
      </c>
      <c r="F15" s="7">
        <f>SUM(F4:F14)</f>
        <v>259.64999999999998</v>
      </c>
      <c r="G15" s="7">
        <f>SUM(G4:G14)</f>
        <v>531.24049999999988</v>
      </c>
      <c r="H15" s="7">
        <f>SUM(H4:H14)</f>
        <v>855.34500000000003</v>
      </c>
    </row>
    <row r="16" spans="2:8" x14ac:dyDescent="0.25">
      <c r="B16" s="4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</row>
    <row r="17" spans="2:8" x14ac:dyDescent="0.25">
      <c r="B17" s="2" t="s">
        <v>13</v>
      </c>
      <c r="C17" s="8">
        <v>5</v>
      </c>
      <c r="D17" s="4" t="s">
        <v>14</v>
      </c>
      <c r="E17" s="3">
        <v>800</v>
      </c>
      <c r="F17" s="3">
        <v>1200</v>
      </c>
      <c r="G17" s="3">
        <f>C17*E17</f>
        <v>4000</v>
      </c>
      <c r="H17" s="3">
        <f>C17*F17</f>
        <v>6000</v>
      </c>
    </row>
    <row r="18" spans="2:8" x14ac:dyDescent="0.25">
      <c r="B18" s="2" t="s">
        <v>33</v>
      </c>
      <c r="C18" s="8">
        <v>5</v>
      </c>
      <c r="D18" s="4" t="s">
        <v>36</v>
      </c>
      <c r="E18" s="3">
        <v>30</v>
      </c>
      <c r="F18" s="3">
        <v>100</v>
      </c>
      <c r="G18" s="3">
        <f t="shared" ref="G18" si="2">C18*E18</f>
        <v>150</v>
      </c>
      <c r="H18" s="3">
        <f>C18*F18</f>
        <v>500</v>
      </c>
    </row>
    <row r="19" spans="2:8" x14ac:dyDescent="0.25">
      <c r="B19" s="2" t="s">
        <v>34</v>
      </c>
      <c r="C19" s="8">
        <v>5</v>
      </c>
      <c r="D19" s="4" t="s">
        <v>35</v>
      </c>
      <c r="E19" s="3">
        <v>5</v>
      </c>
      <c r="F19" s="3">
        <v>10</v>
      </c>
      <c r="G19" s="3">
        <f t="shared" ref="G19" si="3">C19*E19</f>
        <v>25</v>
      </c>
      <c r="H19" s="3">
        <f>C19*F19</f>
        <v>50</v>
      </c>
    </row>
    <row r="20" spans="2:8" x14ac:dyDescent="0.25">
      <c r="B20" s="2" t="s">
        <v>15</v>
      </c>
      <c r="C20" s="8">
        <v>5</v>
      </c>
      <c r="D20" s="4" t="s">
        <v>10</v>
      </c>
      <c r="E20" s="3">
        <v>5</v>
      </c>
      <c r="F20" s="3">
        <v>10</v>
      </c>
      <c r="G20" s="3">
        <f>C20*E20</f>
        <v>25</v>
      </c>
      <c r="H20" s="3">
        <f>C20*F20</f>
        <v>50</v>
      </c>
    </row>
    <row r="21" spans="2:8" x14ac:dyDescent="0.25">
      <c r="B21" s="2" t="s">
        <v>16</v>
      </c>
      <c r="C21" s="3"/>
      <c r="D21" s="3"/>
      <c r="E21" s="7">
        <f>SUM(E17:E20)</f>
        <v>840</v>
      </c>
      <c r="F21" s="7">
        <f>SUM(F17:F20)</f>
        <v>1320</v>
      </c>
      <c r="G21" s="7">
        <f>SUM(G17:G20)</f>
        <v>4200</v>
      </c>
      <c r="H21" s="7">
        <f>SUM(H17:H20)</f>
        <v>6600</v>
      </c>
    </row>
    <row r="22" spans="2:8" x14ac:dyDescent="0.25">
      <c r="B22" s="4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</row>
    <row r="23" spans="2:8" ht="30" x14ac:dyDescent="0.25">
      <c r="B23" s="2" t="s">
        <v>37</v>
      </c>
      <c r="C23" s="9">
        <v>24</v>
      </c>
      <c r="D23" s="4" t="s">
        <v>38</v>
      </c>
      <c r="E23" s="3">
        <v>0.12</v>
      </c>
      <c r="F23" s="3">
        <v>0.2</v>
      </c>
      <c r="G23" s="9">
        <f>C23*E23</f>
        <v>2.88</v>
      </c>
      <c r="H23" s="9">
        <f>C23*F23</f>
        <v>4.8000000000000007</v>
      </c>
    </row>
    <row r="24" spans="2:8" x14ac:dyDescent="0.25">
      <c r="B24" s="2" t="s">
        <v>39</v>
      </c>
      <c r="C24" s="3"/>
      <c r="D24" s="3"/>
      <c r="E24" s="1">
        <f>SUM(E23:E23)</f>
        <v>0.12</v>
      </c>
      <c r="F24" s="1">
        <f t="shared" ref="F24:H24" si="4">SUM(F23:F23)</f>
        <v>0.2</v>
      </c>
      <c r="G24" s="1">
        <f t="shared" si="4"/>
        <v>2.88</v>
      </c>
      <c r="H24" s="1">
        <f t="shared" si="4"/>
        <v>4.8000000000000007</v>
      </c>
    </row>
    <row r="25" spans="2:8" x14ac:dyDescent="0.25">
      <c r="B25" s="4" t="s">
        <v>12</v>
      </c>
      <c r="C25" s="3" t="s">
        <v>12</v>
      </c>
      <c r="D25" s="3" t="s">
        <v>12</v>
      </c>
      <c r="E25" s="3" t="s">
        <v>12</v>
      </c>
      <c r="F25" s="3" t="s">
        <v>12</v>
      </c>
      <c r="G25" s="3" t="s">
        <v>12</v>
      </c>
      <c r="H25" s="3" t="s">
        <v>12</v>
      </c>
    </row>
    <row r="26" spans="2:8" x14ac:dyDescent="0.25">
      <c r="B26" s="2" t="s">
        <v>17</v>
      </c>
      <c r="C26" s="3"/>
      <c r="D26" s="3"/>
      <c r="E26" s="7">
        <f>E15+E21+E24</f>
        <v>1001.405</v>
      </c>
      <c r="F26" s="7">
        <f t="shared" ref="F26:H26" si="5">F15+F21+F24</f>
        <v>1579.8500000000001</v>
      </c>
      <c r="G26" s="7">
        <f t="shared" si="5"/>
        <v>4734.1205</v>
      </c>
      <c r="H26" s="7">
        <f t="shared" si="5"/>
        <v>7460.1450000000004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83F4897FB9A542816311D2A5727ACA" ma:contentTypeVersion="16" ma:contentTypeDescription="Create a new document." ma:contentTypeScope="" ma:versionID="568a2075b2d7d0df8340058b2ee743ea">
  <xsd:schema xmlns:xsd="http://www.w3.org/2001/XMLSchema" xmlns:xs="http://www.w3.org/2001/XMLSchema" xmlns:p="http://schemas.microsoft.com/office/2006/metadata/properties" xmlns:ns3="85c757c9-8b60-493e-912f-2470c57a912e" xmlns:ns4="59bd6946-939f-46dd-b3e8-7c42df2e9b45" targetNamespace="http://schemas.microsoft.com/office/2006/metadata/properties" ma:root="true" ma:fieldsID="a19b467c27a9e4e6da1ed27fa0550733" ns3:_="" ns4:_="">
    <xsd:import namespace="85c757c9-8b60-493e-912f-2470c57a912e"/>
    <xsd:import namespace="59bd6946-939f-46dd-b3e8-7c42df2e9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757c9-8b60-493e-912f-2470c57a9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d6946-939f-46dd-b3e8-7c42df2e9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c757c9-8b60-493e-912f-2470c57a912e" xsi:nil="true"/>
  </documentManagement>
</p:properties>
</file>

<file path=customXml/itemProps1.xml><?xml version="1.0" encoding="utf-8"?>
<ds:datastoreItem xmlns:ds="http://schemas.openxmlformats.org/officeDocument/2006/customXml" ds:itemID="{DA0BB279-6C11-4C89-B8FE-63A1E61EE7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00BCC5-C102-4BD0-9718-240294644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c757c9-8b60-493e-912f-2470c57a912e"/>
    <ds:schemaRef ds:uri="59bd6946-939f-46dd-b3e8-7c42df2e9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ACCFD6-3795-4C59-B536-9B0FAC6F7F69}">
  <ds:schemaRefs>
    <ds:schemaRef ds:uri="85c757c9-8b60-493e-912f-2470c57a912e"/>
    <ds:schemaRef ds:uri="http://www.w3.org/XML/1998/namespace"/>
    <ds:schemaRef ds:uri="http://purl.org/dc/dcmitype/"/>
    <ds:schemaRef ds:uri="http://schemas.microsoft.com/office/infopath/2007/PartnerControls"/>
    <ds:schemaRef ds:uri="59bd6946-939f-46dd-b3e8-7c42df2e9b45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Gagnon</dc:creator>
  <cp:lastModifiedBy>Samuel Gagnon</cp:lastModifiedBy>
  <dcterms:created xsi:type="dcterms:W3CDTF">2026-03-06T19:43:48Z</dcterms:created>
  <dcterms:modified xsi:type="dcterms:W3CDTF">2026-03-06T21:24:03Z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0x0101009883F4897FB9A542816311D2A5727ACA</vt:lpwstr>
  </property>
</Properties>
</file>